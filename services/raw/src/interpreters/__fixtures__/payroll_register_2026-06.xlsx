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 2026-06A" sheetId="1" state="visible" r:id="rId3"/>
    <sheet name="Run 2026-06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<sst xmlns="http://schemas.openxmlformats.org/spreadsheetml/2006/main" count="132" uniqueCount="60">
  <si>
    <t xml:space="preserve">Northlight Manufacturing Inc. - Payroll Register</t>
  </si>
  <si>
    <t xml:space="preserve">Pay Run: 2026-06A   |   Pay Date: 06/12/2026   |   Period: 06/01 - 06/15   |   Provider: PayCore</t>
  </si>
  <si>
    <t xml:space="preserve">Synthetic demo data. All employees and amounts are fictional.</t>
  </si>
  <si>
    <t xml:space="preserve">Emp ID</t>
  </si>
  <si>
    <t xml:space="preserve">Employee</t>
  </si>
  <si>
    <t xml:space="preserve">Department</t>
  </si>
  <si>
    <t xml:space="preserve">Title</t>
  </si>
  <si>
    <t xml:space="preserve">Gross Pay</t>
  </si>
  <si>
    <t xml:space="preserve">Fed W/H (14%)</t>
  </si>
  <si>
    <t xml:space="preserve">State W/H (5%)</t>
  </si>
  <si>
    <t xml:space="preserve">FICA (7.65%)</t>
  </si>
  <si>
    <t xml:space="preserve">401(k) (4%)</t>
  </si>
  <si>
    <t xml:space="preserve">Net Pay</t>
  </si>
  <si>
    <t xml:space="preserve">E-1001</t>
  </si>
  <si>
    <t xml:space="preserve">Amara Osei</t>
  </si>
  <si>
    <t xml:space="preserve">Operations</t>
  </si>
  <si>
    <t xml:space="preserve">Plant Manager</t>
  </si>
  <si>
    <t xml:space="preserve">E-1002</t>
  </si>
  <si>
    <t xml:space="preserve">Jonas Petrov</t>
  </si>
  <si>
    <t xml:space="preserve">Machine Operator</t>
  </si>
  <si>
    <t xml:space="preserve">E-1003</t>
  </si>
  <si>
    <t xml:space="preserve">Lina Farah</t>
  </si>
  <si>
    <t xml:space="preserve">E-1004</t>
  </si>
  <si>
    <t xml:space="preserve">Marcus Bell</t>
  </si>
  <si>
    <t xml:space="preserve">QA Technician</t>
  </si>
  <si>
    <t xml:space="preserve">E-1005</t>
  </si>
  <si>
    <t xml:space="preserve">Priya Nair</t>
  </si>
  <si>
    <t xml:space="preserve">Finance</t>
  </si>
  <si>
    <t xml:space="preserve">Controller</t>
  </si>
  <si>
    <t xml:space="preserve">E-1006</t>
  </si>
  <si>
    <t xml:space="preserve">Tom Reyes</t>
  </si>
  <si>
    <t xml:space="preserve">AP Specialist</t>
  </si>
  <si>
    <t xml:space="preserve">E-1007</t>
  </si>
  <si>
    <t xml:space="preserve">Sofia Lindqvist</t>
  </si>
  <si>
    <t xml:space="preserve">Sales</t>
  </si>
  <si>
    <t xml:space="preserve">Account Executive</t>
  </si>
  <si>
    <t xml:space="preserve">E-1008</t>
  </si>
  <si>
    <t xml:space="preserve">Derek Chan</t>
  </si>
  <si>
    <t xml:space="preserve">E-1009</t>
  </si>
  <si>
    <t xml:space="preserve">Nadia Karim</t>
  </si>
  <si>
    <t xml:space="preserve">Engineering</t>
  </si>
  <si>
    <t xml:space="preserve">Process Engineer</t>
  </si>
  <si>
    <t xml:space="preserve">E-1010</t>
  </si>
  <si>
    <t xml:space="preserve">Owen Fitzgerald</t>
  </si>
  <si>
    <t xml:space="preserve">Maintenance Tech</t>
  </si>
  <si>
    <t xml:space="preserve">E-1011</t>
  </si>
  <si>
    <t xml:space="preserve">Yuki Tanaka</t>
  </si>
  <si>
    <t xml:space="preserve">Admin</t>
  </si>
  <si>
    <t xml:space="preserve">Office Manager</t>
  </si>
  <si>
    <t xml:space="preserve">E-1012</t>
  </si>
  <si>
    <t xml:space="preserve">Carlos Mendes</t>
  </si>
  <si>
    <t xml:space="preserve">Warehouse</t>
  </si>
  <si>
    <t xml:space="preserve">Logistics Lead</t>
  </si>
  <si>
    <t xml:space="preserve">TOTALS</t>
  </si>
  <si>
    <t xml:space="preserve">Employer FICA match</t>
  </si>
  <si>
    <t xml:space="preserve">Employer unemployment (0.6%)</t>
  </si>
  <si>
    <t xml:space="preserve">Total tax remittance (EE W/H + ER)</t>
  </si>
  <si>
    <t xml:space="preserve">Net pay ACH debit (bank ref: PAYCORE PAYROLL NET RUN 2026-06A)</t>
  </si>
  <si>
    <t xml:space="preserve">Pay Run: 2026-06B   |   Pay Date: 06/26/2026   |   Period: 06/16 - 06/30   |   Provider: PayCore</t>
  </si>
  <si>
    <t xml:space="preserve">Net pay ACH debit (bank ref: PAYCORE PAYROLL NET RUN 2026-06B)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</si>
</sst>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8"/>
      <color rgb="FF99999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1A2E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10" min="8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15" hidden="false" customHeight="false" outlineLevel="0" collapsed="false">
      <c r="A6" s="5" t="s">
        <v>13</v>
      </c>
      <c r="B6" s="5" t="s">
        <v>14</v>
      </c>
      <c r="C6" s="5" t="s">
        <v>15</v>
      </c>
      <c r="D6" s="5" t="s">
        <v>16</v>
      </c>
      <c r="E6" s="6" t="n">
        <v>5200</v>
      </c>
      <c r="F6" s="7" t="n">
        <f aca="false">ROUND(E6*0.14,2)</f>
        <v>728</v>
      </c>
      <c r="G6" s="7" t="n">
        <f aca="false">ROUND(E6*0.05,2)</f>
        <v>260</v>
      </c>
      <c r="H6" s="7" t="n">
        <f aca="false">ROUND(E6*0.0765,2)</f>
        <v>397.8</v>
      </c>
      <c r="I6" s="7" t="n">
        <f aca="false">ROUND(E6*0.04,2)</f>
        <v>208</v>
      </c>
      <c r="J6" s="7" t="n">
        <f aca="false">E6-F6-G6-H6-I6</f>
        <v>3606.2</v>
      </c>
    </row>
    <row r="7" customFormat="false" ht="15" hidden="false" customHeight="false" outlineLevel="0" collapsed="false">
      <c r="A7" s="5" t="s">
        <v>17</v>
      </c>
      <c r="B7" s="5" t="s">
        <v>18</v>
      </c>
      <c r="C7" s="5" t="s">
        <v>15</v>
      </c>
      <c r="D7" s="5" t="s">
        <v>19</v>
      </c>
      <c r="E7" s="6" t="n">
        <v>2650</v>
      </c>
      <c r="F7" s="7" t="n">
        <f aca="false">ROUND(E7*0.14,2)</f>
        <v>371</v>
      </c>
      <c r="G7" s="7" t="n">
        <f aca="false">ROUND(E7*0.05,2)</f>
        <v>132.5</v>
      </c>
      <c r="H7" s="7" t="n">
        <f aca="false">ROUND(E7*0.0765,2)</f>
        <v>202.73</v>
      </c>
      <c r="I7" s="7" t="n">
        <f aca="false">ROUND(E7*0.04,2)</f>
        <v>106</v>
      </c>
      <c r="J7" s="7" t="n">
        <f aca="false">E7-F7-G7-H7-I7</f>
        <v>1837.77</v>
      </c>
    </row>
    <row r="8" customFormat="false" ht="15" hidden="false" customHeight="false" outlineLevel="0" collapsed="false">
      <c r="A8" s="5" t="s">
        <v>20</v>
      </c>
      <c r="B8" s="5" t="s">
        <v>21</v>
      </c>
      <c r="C8" s="5" t="s">
        <v>15</v>
      </c>
      <c r="D8" s="5" t="s">
        <v>19</v>
      </c>
      <c r="E8" s="6" t="n">
        <v>2650</v>
      </c>
      <c r="F8" s="7" t="n">
        <f aca="false">ROUND(E8*0.14,2)</f>
        <v>371</v>
      </c>
      <c r="G8" s="7" t="n">
        <f aca="false">ROUND(E8*0.05,2)</f>
        <v>132.5</v>
      </c>
      <c r="H8" s="7" t="n">
        <f aca="false">ROUND(E8*0.0765,2)</f>
        <v>202.73</v>
      </c>
      <c r="I8" s="7" t="n">
        <f aca="false">ROUND(E8*0.04,2)</f>
        <v>106</v>
      </c>
      <c r="J8" s="7" t="n">
        <f aca="false">E8-F8-G8-H8-I8</f>
        <v>1837.77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15</v>
      </c>
      <c r="D9" s="5" t="s">
        <v>24</v>
      </c>
      <c r="E9" s="6" t="n">
        <v>2900</v>
      </c>
      <c r="F9" s="7" t="n">
        <f aca="false">ROUND(E9*0.14,2)</f>
        <v>406</v>
      </c>
      <c r="G9" s="7" t="n">
        <f aca="false">ROUND(E9*0.05,2)</f>
        <v>145</v>
      </c>
      <c r="H9" s="7" t="n">
        <f aca="false">ROUND(E9*0.0765,2)</f>
        <v>221.85</v>
      </c>
      <c r="I9" s="7" t="n">
        <f aca="false">ROUND(E9*0.04,2)</f>
        <v>116</v>
      </c>
      <c r="J9" s="7" t="n">
        <f aca="false">E9-F9-G9-H9-I9</f>
        <v>2011.15</v>
      </c>
    </row>
    <row r="10" customFormat="false" ht="15" hidden="false" customHeight="false" outlineLevel="0" collapsed="false">
      <c r="A10" s="5" t="s">
        <v>25</v>
      </c>
      <c r="B10" s="5" t="s">
        <v>26</v>
      </c>
      <c r="C10" s="5" t="s">
        <v>27</v>
      </c>
      <c r="D10" s="5" t="s">
        <v>28</v>
      </c>
      <c r="E10" s="6" t="n">
        <v>5850</v>
      </c>
      <c r="F10" s="7" t="n">
        <f aca="false">ROUND(E10*0.14,2)</f>
        <v>819</v>
      </c>
      <c r="G10" s="7" t="n">
        <f aca="false">ROUND(E10*0.05,2)</f>
        <v>292.5</v>
      </c>
      <c r="H10" s="7" t="n">
        <f aca="false">ROUND(E10*0.0765,2)</f>
        <v>447.53</v>
      </c>
      <c r="I10" s="7" t="n">
        <f aca="false">ROUND(E10*0.04,2)</f>
        <v>234</v>
      </c>
      <c r="J10" s="7" t="n">
        <f aca="false">E10-F10-G10-H10-I10</f>
        <v>4056.97</v>
      </c>
    </row>
    <row r="11" customFormat="false" ht="15" hidden="false" customHeight="false" outlineLevel="0" collapsed="false">
      <c r="A11" s="5" t="s">
        <v>29</v>
      </c>
      <c r="B11" s="5" t="s">
        <v>30</v>
      </c>
      <c r="C11" s="5" t="s">
        <v>27</v>
      </c>
      <c r="D11" s="5" t="s">
        <v>31</v>
      </c>
      <c r="E11" s="6" t="n">
        <v>2750</v>
      </c>
      <c r="F11" s="7" t="n">
        <f aca="false">ROUND(E11*0.14,2)</f>
        <v>385</v>
      </c>
      <c r="G11" s="7" t="n">
        <f aca="false">ROUND(E11*0.05,2)</f>
        <v>137.5</v>
      </c>
      <c r="H11" s="7" t="n">
        <f aca="false">ROUND(E11*0.0765,2)</f>
        <v>210.38</v>
      </c>
      <c r="I11" s="7" t="n">
        <f aca="false">ROUND(E11*0.04,2)</f>
        <v>110</v>
      </c>
      <c r="J11" s="7" t="n">
        <f aca="false">E11-F11-G11-H11-I11</f>
        <v>1907.12</v>
      </c>
    </row>
    <row r="12" customFormat="false" ht="15" hidden="false" customHeight="false" outlineLevel="0" collapsed="false">
      <c r="A12" s="5" t="s">
        <v>32</v>
      </c>
      <c r="B12" s="5" t="s">
        <v>33</v>
      </c>
      <c r="C12" s="5" t="s">
        <v>34</v>
      </c>
      <c r="D12" s="5" t="s">
        <v>35</v>
      </c>
      <c r="E12" s="6" t="n">
        <v>3400</v>
      </c>
      <c r="F12" s="7" t="n">
        <f aca="false">ROUND(E12*0.14,2)</f>
        <v>476</v>
      </c>
      <c r="G12" s="7" t="n">
        <f aca="false">ROUND(E12*0.05,2)</f>
        <v>170</v>
      </c>
      <c r="H12" s="7" t="n">
        <f aca="false">ROUND(E12*0.0765,2)</f>
        <v>260.1</v>
      </c>
      <c r="I12" s="7" t="n">
        <f aca="false">ROUND(E12*0.04,2)</f>
        <v>136</v>
      </c>
      <c r="J12" s="7" t="n">
        <f aca="false">E12-F12-G12-H12-I12</f>
        <v>2357.9</v>
      </c>
    </row>
    <row r="13" customFormat="false" ht="15" hidden="false" customHeight="false" outlineLevel="0" collapsed="false">
      <c r="A13" s="5" t="s">
        <v>36</v>
      </c>
      <c r="B13" s="5" t="s">
        <v>37</v>
      </c>
      <c r="C13" s="5" t="s">
        <v>34</v>
      </c>
      <c r="D13" s="5" t="s">
        <v>35</v>
      </c>
      <c r="E13" s="6" t="n">
        <v>3400</v>
      </c>
      <c r="F13" s="7" t="n">
        <f aca="false">ROUND(E13*0.14,2)</f>
        <v>476</v>
      </c>
      <c r="G13" s="7" t="n">
        <f aca="false">ROUND(E13*0.05,2)</f>
        <v>170</v>
      </c>
      <c r="H13" s="7" t="n">
        <f aca="false">ROUND(E13*0.0765,2)</f>
        <v>260.1</v>
      </c>
      <c r="I13" s="7" t="n">
        <f aca="false">ROUND(E13*0.04,2)</f>
        <v>136</v>
      </c>
      <c r="J13" s="7" t="n">
        <f aca="false">E13-F13-G13-H13-I13</f>
        <v>2357.9</v>
      </c>
    </row>
    <row r="14" customFormat="false" ht="15" hidden="false" customHeight="false" outlineLevel="0" collapsed="false">
      <c r="A14" s="5" t="s">
        <v>38</v>
      </c>
      <c r="B14" s="5" t="s">
        <v>39</v>
      </c>
      <c r="C14" s="5" t="s">
        <v>40</v>
      </c>
      <c r="D14" s="5" t="s">
        <v>41</v>
      </c>
      <c r="E14" s="6" t="n">
        <v>4600</v>
      </c>
      <c r="F14" s="7" t="n">
        <f aca="false">ROUND(E14*0.14,2)</f>
        <v>644</v>
      </c>
      <c r="G14" s="7" t="n">
        <f aca="false">ROUND(E14*0.05,2)</f>
        <v>230</v>
      </c>
      <c r="H14" s="7" t="n">
        <f aca="false">ROUND(E14*0.0765,2)</f>
        <v>351.9</v>
      </c>
      <c r="I14" s="7" t="n">
        <f aca="false">ROUND(E14*0.04,2)</f>
        <v>184</v>
      </c>
      <c r="J14" s="7" t="n">
        <f aca="false">E14-F14-G14-H14-I14</f>
        <v>3190.1</v>
      </c>
    </row>
    <row r="15" customFormat="false" ht="15" hidden="false" customHeight="false" outlineLevel="0" collapsed="false">
      <c r="A15" s="5" t="s">
        <v>42</v>
      </c>
      <c r="B15" s="5" t="s">
        <v>43</v>
      </c>
      <c r="C15" s="5" t="s">
        <v>40</v>
      </c>
      <c r="D15" s="5" t="s">
        <v>44</v>
      </c>
      <c r="E15" s="6" t="n">
        <v>3100</v>
      </c>
      <c r="F15" s="7" t="n">
        <f aca="false">ROUND(E15*0.14,2)</f>
        <v>434</v>
      </c>
      <c r="G15" s="7" t="n">
        <f aca="false">ROUND(E15*0.05,2)</f>
        <v>155</v>
      </c>
      <c r="H15" s="7" t="n">
        <f aca="false">ROUND(E15*0.0765,2)</f>
        <v>237.15</v>
      </c>
      <c r="I15" s="7" t="n">
        <f aca="false">ROUND(E15*0.04,2)</f>
        <v>124</v>
      </c>
      <c r="J15" s="7" t="n">
        <f aca="false">E15-F15-G15-H15-I15</f>
        <v>2149.85</v>
      </c>
    </row>
    <row r="16" customFormat="false" ht="15" hidden="false" customHeight="false" outlineLevel="0" collapsed="false">
      <c r="A16" s="5" t="s">
        <v>45</v>
      </c>
      <c r="B16" s="5" t="s">
        <v>46</v>
      </c>
      <c r="C16" s="5" t="s">
        <v>47</v>
      </c>
      <c r="D16" s="5" t="s">
        <v>48</v>
      </c>
      <c r="E16" s="6" t="n">
        <v>2950</v>
      </c>
      <c r="F16" s="7" t="n">
        <f aca="false">ROUND(E16*0.14,2)</f>
        <v>413</v>
      </c>
      <c r="G16" s="7" t="n">
        <f aca="false">ROUND(E16*0.05,2)</f>
        <v>147.5</v>
      </c>
      <c r="H16" s="7" t="n">
        <f aca="false">ROUND(E16*0.0765,2)</f>
        <v>225.68</v>
      </c>
      <c r="I16" s="7" t="n">
        <f aca="false">ROUND(E16*0.04,2)</f>
        <v>118</v>
      </c>
      <c r="J16" s="7" t="n">
        <f aca="false">E16-F16-G16-H16-I16</f>
        <v>2045.82</v>
      </c>
    </row>
    <row r="17" customFormat="false" ht="15" hidden="false" customHeight="false" outlineLevel="0" collapsed="false">
      <c r="A17" s="5" t="s">
        <v>49</v>
      </c>
      <c r="B17" s="5" t="s">
        <v>50</v>
      </c>
      <c r="C17" s="5" t="s">
        <v>51</v>
      </c>
      <c r="D17" s="5" t="s">
        <v>52</v>
      </c>
      <c r="E17" s="6" t="n">
        <v>3250</v>
      </c>
      <c r="F17" s="7" t="n">
        <f aca="false">ROUND(E17*0.14,2)</f>
        <v>455</v>
      </c>
      <c r="G17" s="7" t="n">
        <f aca="false">ROUND(E17*0.05,2)</f>
        <v>162.5</v>
      </c>
      <c r="H17" s="7" t="n">
        <f aca="false">ROUND(E17*0.0765,2)</f>
        <v>248.63</v>
      </c>
      <c r="I17" s="7" t="n">
        <f aca="false">ROUND(E17*0.04,2)</f>
        <v>130</v>
      </c>
      <c r="J17" s="7" t="n">
        <f aca="false">E17-F17-G17-H17-I17</f>
        <v>2253.87</v>
      </c>
    </row>
    <row r="18" customFormat="false" ht="15" hidden="false" customHeight="false" outlineLevel="0" collapsed="false">
      <c r="D18" s="8" t="s">
        <v>53</v>
      </c>
      <c r="E18" s="9" t="n">
        <f aca="false">SUM(E6:E17)</f>
        <v>42700</v>
      </c>
      <c r="F18" s="9" t="n">
        <f aca="false">SUM(F6:F17)</f>
        <v>5978</v>
      </c>
      <c r="G18" s="9" t="n">
        <f aca="false">SUM(G6:G17)</f>
        <v>2135</v>
      </c>
      <c r="H18" s="9" t="n">
        <f aca="false">SUM(H6:H17)</f>
        <v>3266.58</v>
      </c>
      <c r="I18" s="9" t="n">
        <f aca="false">SUM(I6:I17)</f>
        <v>1708</v>
      </c>
      <c r="J18" s="9" t="n">
        <f aca="false">SUM(J6:J17)</f>
        <v>29612.42</v>
      </c>
    </row>
    <row r="20" customFormat="false" ht="15" hidden="false" customHeight="false" outlineLevel="0" collapsed="false">
      <c r="D20" s="10" t="s">
        <v>54</v>
      </c>
      <c r="E20" s="11" t="n">
        <f aca="false">ROUND(H18,2)</f>
        <v>3266.58</v>
      </c>
    </row>
    <row r="21" customFormat="false" ht="15" hidden="false" customHeight="false" outlineLevel="0" collapsed="false">
      <c r="D21" s="10" t="s">
        <v>55</v>
      </c>
      <c r="E21" s="11" t="n">
        <f aca="false">ROUND(E18*0.006,2)</f>
        <v>256.2</v>
      </c>
    </row>
    <row r="22" customFormat="false" ht="15" hidden="false" customHeight="false" outlineLevel="0" collapsed="false">
      <c r="D22" s="8" t="s">
        <v>56</v>
      </c>
      <c r="E22" s="9" t="n">
        <f aca="false">F18+G18+H18+E20+E21</f>
        <v>14902.36</v>
      </c>
    </row>
    <row r="23" customFormat="false" ht="15" hidden="false" customHeight="false" outlineLevel="0" collapsed="false">
      <c r="D23" s="10" t="s">
        <v>57</v>
      </c>
      <c r="E23" s="11" t="n">
        <f aca="false">J18</f>
        <v>29612.42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10" min="8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58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15" hidden="false" customHeight="false" outlineLevel="0" collapsed="false">
      <c r="A6" s="5" t="s">
        <v>13</v>
      </c>
      <c r="B6" s="5" t="s">
        <v>14</v>
      </c>
      <c r="C6" s="5" t="s">
        <v>15</v>
      </c>
      <c r="D6" s="5" t="s">
        <v>16</v>
      </c>
      <c r="E6" s="6" t="n">
        <v>5200</v>
      </c>
      <c r="F6" s="7" t="n">
        <f aca="false">ROUND(E6*0.14,2)</f>
        <v>728</v>
      </c>
      <c r="G6" s="7" t="n">
        <f aca="false">ROUND(E6*0.05,2)</f>
        <v>260</v>
      </c>
      <c r="H6" s="7" t="n">
        <f aca="false">ROUND(E6*0.0765,2)</f>
        <v>397.8</v>
      </c>
      <c r="I6" s="7" t="n">
        <f aca="false">ROUND(E6*0.04,2)</f>
        <v>208</v>
      </c>
      <c r="J6" s="7" t="n">
        <f aca="false">E6-F6-G6-H6-I6</f>
        <v>3606.2</v>
      </c>
    </row>
    <row r="7" customFormat="false" ht="15" hidden="false" customHeight="false" outlineLevel="0" collapsed="false">
      <c r="A7" s="5" t="s">
        <v>17</v>
      </c>
      <c r="B7" s="5" t="s">
        <v>18</v>
      </c>
      <c r="C7" s="5" t="s">
        <v>15</v>
      </c>
      <c r="D7" s="5" t="s">
        <v>19</v>
      </c>
      <c r="E7" s="6" t="n">
        <v>2650</v>
      </c>
      <c r="F7" s="7" t="n">
        <f aca="false">ROUND(E7*0.14,2)</f>
        <v>371</v>
      </c>
      <c r="G7" s="7" t="n">
        <f aca="false">ROUND(E7*0.05,2)</f>
        <v>132.5</v>
      </c>
      <c r="H7" s="7" t="n">
        <f aca="false">ROUND(E7*0.0765,2)</f>
        <v>202.73</v>
      </c>
      <c r="I7" s="7" t="n">
        <f aca="false">ROUND(E7*0.04,2)</f>
        <v>106</v>
      </c>
      <c r="J7" s="7" t="n">
        <f aca="false">E7-F7-G7-H7-I7</f>
        <v>1837.77</v>
      </c>
    </row>
    <row r="8" customFormat="false" ht="15" hidden="false" customHeight="false" outlineLevel="0" collapsed="false">
      <c r="A8" s="5" t="s">
        <v>20</v>
      </c>
      <c r="B8" s="5" t="s">
        <v>21</v>
      </c>
      <c r="C8" s="5" t="s">
        <v>15</v>
      </c>
      <c r="D8" s="5" t="s">
        <v>19</v>
      </c>
      <c r="E8" s="6" t="n">
        <v>2650</v>
      </c>
      <c r="F8" s="7" t="n">
        <f aca="false">ROUND(E8*0.14,2)</f>
        <v>371</v>
      </c>
      <c r="G8" s="7" t="n">
        <f aca="false">ROUND(E8*0.05,2)</f>
        <v>132.5</v>
      </c>
      <c r="H8" s="7" t="n">
        <f aca="false">ROUND(E8*0.0765,2)</f>
        <v>202.73</v>
      </c>
      <c r="I8" s="7" t="n">
        <f aca="false">ROUND(E8*0.04,2)</f>
        <v>106</v>
      </c>
      <c r="J8" s="7" t="n">
        <f aca="false">E8-F8-G8-H8-I8</f>
        <v>1837.77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15</v>
      </c>
      <c r="D9" s="5" t="s">
        <v>24</v>
      </c>
      <c r="E9" s="6" t="n">
        <v>2900</v>
      </c>
      <c r="F9" s="7" t="n">
        <f aca="false">ROUND(E9*0.14,2)</f>
        <v>406</v>
      </c>
      <c r="G9" s="7" t="n">
        <f aca="false">ROUND(E9*0.05,2)</f>
        <v>145</v>
      </c>
      <c r="H9" s="7" t="n">
        <f aca="false">ROUND(E9*0.0765,2)</f>
        <v>221.85</v>
      </c>
      <c r="I9" s="7" t="n">
        <f aca="false">ROUND(E9*0.04,2)</f>
        <v>116</v>
      </c>
      <c r="J9" s="7" t="n">
        <f aca="false">E9-F9-G9-H9-I9</f>
        <v>2011.15</v>
      </c>
    </row>
    <row r="10" customFormat="false" ht="15" hidden="false" customHeight="false" outlineLevel="0" collapsed="false">
      <c r="A10" s="5" t="s">
        <v>25</v>
      </c>
      <c r="B10" s="5" t="s">
        <v>26</v>
      </c>
      <c r="C10" s="5" t="s">
        <v>27</v>
      </c>
      <c r="D10" s="5" t="s">
        <v>28</v>
      </c>
      <c r="E10" s="6" t="n">
        <v>5850</v>
      </c>
      <c r="F10" s="7" t="n">
        <f aca="false">ROUND(E10*0.14,2)</f>
        <v>819</v>
      </c>
      <c r="G10" s="7" t="n">
        <f aca="false">ROUND(E10*0.05,2)</f>
        <v>292.5</v>
      </c>
      <c r="H10" s="7" t="n">
        <f aca="false">ROUND(E10*0.0765,2)</f>
        <v>447.53</v>
      </c>
      <c r="I10" s="7" t="n">
        <f aca="false">ROUND(E10*0.04,2)</f>
        <v>234</v>
      </c>
      <c r="J10" s="7" t="n">
        <f aca="false">E10-F10-G10-H10-I10</f>
        <v>4056.97</v>
      </c>
    </row>
    <row r="11" customFormat="false" ht="15" hidden="false" customHeight="false" outlineLevel="0" collapsed="false">
      <c r="A11" s="5" t="s">
        <v>29</v>
      </c>
      <c r="B11" s="5" t="s">
        <v>30</v>
      </c>
      <c r="C11" s="5" t="s">
        <v>27</v>
      </c>
      <c r="D11" s="5" t="s">
        <v>31</v>
      </c>
      <c r="E11" s="6" t="n">
        <v>2750</v>
      </c>
      <c r="F11" s="7" t="n">
        <f aca="false">ROUND(E11*0.14,2)</f>
        <v>385</v>
      </c>
      <c r="G11" s="7" t="n">
        <f aca="false">ROUND(E11*0.05,2)</f>
        <v>137.5</v>
      </c>
      <c r="H11" s="7" t="n">
        <f aca="false">ROUND(E11*0.0765,2)</f>
        <v>210.38</v>
      </c>
      <c r="I11" s="7" t="n">
        <f aca="false">ROUND(E11*0.04,2)</f>
        <v>110</v>
      </c>
      <c r="J11" s="7" t="n">
        <f aca="false">E11-F11-G11-H11-I11</f>
        <v>1907.12</v>
      </c>
    </row>
    <row r="12" customFormat="false" ht="15" hidden="false" customHeight="false" outlineLevel="0" collapsed="false">
      <c r="A12" s="5" t="s">
        <v>32</v>
      </c>
      <c r="B12" s="5" t="s">
        <v>33</v>
      </c>
      <c r="C12" s="5" t="s">
        <v>34</v>
      </c>
      <c r="D12" s="5" t="s">
        <v>35</v>
      </c>
      <c r="E12" s="6" t="n">
        <v>3400</v>
      </c>
      <c r="F12" s="7" t="n">
        <f aca="false">ROUND(E12*0.14,2)</f>
        <v>476</v>
      </c>
      <c r="G12" s="7" t="n">
        <f aca="false">ROUND(E12*0.05,2)</f>
        <v>170</v>
      </c>
      <c r="H12" s="7" t="n">
        <f aca="false">ROUND(E12*0.0765,2)</f>
        <v>260.1</v>
      </c>
      <c r="I12" s="7" t="n">
        <f aca="false">ROUND(E12*0.04,2)</f>
        <v>136</v>
      </c>
      <c r="J12" s="7" t="n">
        <f aca="false">E12-F12-G12-H12-I12</f>
        <v>2357.9</v>
      </c>
    </row>
    <row r="13" customFormat="false" ht="15" hidden="false" customHeight="false" outlineLevel="0" collapsed="false">
      <c r="A13" s="5" t="s">
        <v>36</v>
      </c>
      <c r="B13" s="5" t="s">
        <v>37</v>
      </c>
      <c r="C13" s="5" t="s">
        <v>34</v>
      </c>
      <c r="D13" s="5" t="s">
        <v>35</v>
      </c>
      <c r="E13" s="6" t="n">
        <v>3400</v>
      </c>
      <c r="F13" s="7" t="n">
        <f aca="false">ROUND(E13*0.14,2)</f>
        <v>476</v>
      </c>
      <c r="G13" s="7" t="n">
        <f aca="false">ROUND(E13*0.05,2)</f>
        <v>170</v>
      </c>
      <c r="H13" s="7" t="n">
        <f aca="false">ROUND(E13*0.0765,2)</f>
        <v>260.1</v>
      </c>
      <c r="I13" s="7" t="n">
        <f aca="false">ROUND(E13*0.04,2)</f>
        <v>136</v>
      </c>
      <c r="J13" s="7" t="n">
        <f aca="false">E13-F13-G13-H13-I13</f>
        <v>2357.9</v>
      </c>
    </row>
    <row r="14" customFormat="false" ht="15" hidden="false" customHeight="false" outlineLevel="0" collapsed="false">
      <c r="A14" s="5" t="s">
        <v>38</v>
      </c>
      <c r="B14" s="5" t="s">
        <v>39</v>
      </c>
      <c r="C14" s="5" t="s">
        <v>40</v>
      </c>
      <c r="D14" s="5" t="s">
        <v>41</v>
      </c>
      <c r="E14" s="6" t="n">
        <v>4600</v>
      </c>
      <c r="F14" s="7" t="n">
        <f aca="false">ROUND(E14*0.14,2)</f>
        <v>644</v>
      </c>
      <c r="G14" s="7" t="n">
        <f aca="false">ROUND(E14*0.05,2)</f>
        <v>230</v>
      </c>
      <c r="H14" s="7" t="n">
        <f aca="false">ROUND(E14*0.0765,2)</f>
        <v>351.9</v>
      </c>
      <c r="I14" s="7" t="n">
        <f aca="false">ROUND(E14*0.04,2)</f>
        <v>184</v>
      </c>
      <c r="J14" s="7" t="n">
        <f aca="false">E14-F14-G14-H14-I14</f>
        <v>3190.1</v>
      </c>
    </row>
    <row r="15" customFormat="false" ht="15" hidden="false" customHeight="false" outlineLevel="0" collapsed="false">
      <c r="A15" s="5" t="s">
        <v>42</v>
      </c>
      <c r="B15" s="5" t="s">
        <v>43</v>
      </c>
      <c r="C15" s="5" t="s">
        <v>40</v>
      </c>
      <c r="D15" s="5" t="s">
        <v>44</v>
      </c>
      <c r="E15" s="6" t="n">
        <v>3100</v>
      </c>
      <c r="F15" s="7" t="n">
        <f aca="false">ROUND(E15*0.14,2)</f>
        <v>434</v>
      </c>
      <c r="G15" s="7" t="n">
        <f aca="false">ROUND(E15*0.05,2)</f>
        <v>155</v>
      </c>
      <c r="H15" s="7" t="n">
        <f aca="false">ROUND(E15*0.0765,2)</f>
        <v>237.15</v>
      </c>
      <c r="I15" s="7" t="n">
        <f aca="false">ROUND(E15*0.04,2)</f>
        <v>124</v>
      </c>
      <c r="J15" s="7" t="n">
        <f aca="false">E15-F15-G15-H15-I15</f>
        <v>2149.85</v>
      </c>
    </row>
    <row r="16" customFormat="false" ht="15" hidden="false" customHeight="false" outlineLevel="0" collapsed="false">
      <c r="A16" s="5" t="s">
        <v>45</v>
      </c>
      <c r="B16" s="5" t="s">
        <v>46</v>
      </c>
      <c r="C16" s="5" t="s">
        <v>47</v>
      </c>
      <c r="D16" s="5" t="s">
        <v>48</v>
      </c>
      <c r="E16" s="6" t="n">
        <v>2950</v>
      </c>
      <c r="F16" s="7" t="n">
        <f aca="false">ROUND(E16*0.14,2)</f>
        <v>413</v>
      </c>
      <c r="G16" s="7" t="n">
        <f aca="false">ROUND(E16*0.05,2)</f>
        <v>147.5</v>
      </c>
      <c r="H16" s="7" t="n">
        <f aca="false">ROUND(E16*0.0765,2)</f>
        <v>225.68</v>
      </c>
      <c r="I16" s="7" t="n">
        <f aca="false">ROUND(E16*0.04,2)</f>
        <v>118</v>
      </c>
      <c r="J16" s="7" t="n">
        <f aca="false">E16-F16-G16-H16-I16</f>
        <v>2045.82</v>
      </c>
    </row>
    <row r="17" customFormat="false" ht="15" hidden="false" customHeight="false" outlineLevel="0" collapsed="false">
      <c r="A17" s="5" t="s">
        <v>49</v>
      </c>
      <c r="B17" s="5" t="s">
        <v>50</v>
      </c>
      <c r="C17" s="5" t="s">
        <v>51</v>
      </c>
      <c r="D17" s="5" t="s">
        <v>52</v>
      </c>
      <c r="E17" s="6" t="n">
        <v>3250</v>
      </c>
      <c r="F17" s="7" t="n">
        <f aca="false">ROUND(E17*0.14,2)</f>
        <v>455</v>
      </c>
      <c r="G17" s="7" t="n">
        <f aca="false">ROUND(E17*0.05,2)</f>
        <v>162.5</v>
      </c>
      <c r="H17" s="7" t="n">
        <f aca="false">ROUND(E17*0.0765,2)</f>
        <v>248.63</v>
      </c>
      <c r="I17" s="7" t="n">
        <f aca="false">ROUND(E17*0.04,2)</f>
        <v>130</v>
      </c>
      <c r="J17" s="7" t="n">
        <f aca="false">E17-F17-G17-H17-I17</f>
        <v>2253.87</v>
      </c>
    </row>
    <row r="18" customFormat="false" ht="15" hidden="false" customHeight="false" outlineLevel="0" collapsed="false">
      <c r="D18" s="8" t="s">
        <v>53</v>
      </c>
      <c r="E18" s="9" t="n">
        <f aca="false">SUM(E6:E17)</f>
        <v>42700</v>
      </c>
      <c r="F18" s="9" t="n">
        <f aca="false">SUM(F6:F17)</f>
        <v>5978</v>
      </c>
      <c r="G18" s="9" t="n">
        <f aca="false">SUM(G6:G17)</f>
        <v>2135</v>
      </c>
      <c r="H18" s="9" t="n">
        <f aca="false">SUM(H6:H17)</f>
        <v>3266.58</v>
      </c>
      <c r="I18" s="9" t="n">
        <f aca="false">SUM(I6:I17)</f>
        <v>1708</v>
      </c>
      <c r="J18" s="9" t="n">
        <f aca="false">SUM(J6:J17)</f>
        <v>29612.42</v>
      </c>
    </row>
    <row r="20" customFormat="false" ht="15" hidden="false" customHeight="false" outlineLevel="0" collapsed="false">
      <c r="D20" s="10" t="s">
        <v>54</v>
      </c>
      <c r="E20" s="11" t="n">
        <f aca="false">ROUND(H18,2)</f>
        <v>3266.58</v>
      </c>
    </row>
    <row r="21" customFormat="false" ht="15" hidden="false" customHeight="false" outlineLevel="0" collapsed="false">
      <c r="D21" s="10" t="s">
        <v>55</v>
      </c>
      <c r="E21" s="11" t="n">
        <f aca="false">ROUND(E18*0.006,2)</f>
        <v>256.2</v>
      </c>
    </row>
    <row r="22" customFormat="false" ht="15" hidden="false" customHeight="false" outlineLevel="0" collapsed="false">
      <c r="D22" s="8" t="s">
        <v>56</v>
      </c>
      <c r="E22" s="9" t="n">
        <f aca="false">F18+G18+H18+E20+E21</f>
        <v>14902.36</v>
      </c>
    </row>
    <row r="23" customFormat="false" ht="15" hidden="false" customHeight="false" outlineLevel="0" collapsed="false">
      <c r="D23" s="10" t="s">
        <v>59</v>
      </c>
      <c r="E23" s="11" t="n">
        <f aca="false">J18</f>
        <v>29612.42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2026-07-07T09:44:44Z</dcterms:created>
  <dc:creator>openpyxl</dc:creator>
  <dc:description/>
  <dc:language>en-US</dc:language>
  <cp:lastModifiedBy/>
  <dcterms:modified xsi:type="dcterms:W3CDTF">2026-07-07T09:44:44Z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