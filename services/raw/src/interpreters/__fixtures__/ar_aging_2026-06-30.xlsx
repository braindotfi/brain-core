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 Aging 2026-06-3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<sst xmlns="http://schemas.openxmlformats.org/spreadsheetml/2006/main" count="65" uniqueCount="55">
  <si>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Northlight Manufacturing Inc. - Accounts Receivable Aging</t>
  </si>
  <si>
    <t xml:space="preserve">As of: 06/30/2026 | Currency: USD</t>
  </si>
  <si>
    <t xml:space="preserve">Synthetic demo data. All customers and amounts are fictional.</t>
  </si>
  <si>
    <t xml:space="preserve">Customer</t>
  </si>
  <si>
    <t xml:space="preserve">Invoice No</t>
  </si>
  <si>
    <t xml:space="preserve">Invoice Date</t>
  </si>
  <si>
    <t xml:space="preserve">Due Date</t>
  </si>
  <si>
    <t xml:space="preserve">Terms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</si>
  <si>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</si>
  <si>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</si>
  <si>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</si>
  <si>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</si>
  <si>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</si>
  <si>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Total Due</t>
  </si>
  <si>
    <t xml:space="preserve">Notes</t>
  </si>
  <si>
    <t xml:space="preserve">Helios Retail Group</t>
  </si>
  <si>
    <t xml:space="preserve">NL-2417</t>
  </si>
  <si>
    <t xml:space="preserve">04/22/2026</t>
  </si>
  <si>
    <t xml:space="preserve">05/22/2026</t>
  </si>
  <si>
    <t xml:space="preserve">Net 30</t>
  </si>
  <si>
    <t xml:space="preserve">Partial $25,000 received 06/15. Two follow-ups sent, no committed date.</t>
  </si>
  <si>
    <t xml:space="preserve">NL-2389</t>
  </si>
  <si>
    <t xml:space="preserve">03/05/2026</t>
  </si>
  <si>
    <t xml:space="preserve">04/04/2026</t>
  </si>
  <si>
    <t xml:space="preserve">Disputed freight charge. Awaiting credit memo decision.</t>
  </si>
  <si>
    <t xml:space="preserve">Bluepeak Distributors LLC</t>
  </si>
  <si>
    <t xml:space="preserve">NL-2440</t>
  </si>
  <si>
    <t xml:space="preserve">06/22/2026</t>
  </si>
  <si>
    <t xml:space="preserve">07/22/2026</t>
  </si>
  <si>
    <t xml:space="preserve">Reliable payer. Paid NL-2431 in full 06/24.</t>
  </si>
  <si>
    <t xml:space="preserve">Cascade Building Systems</t>
  </si>
  <si>
    <t xml:space="preserve">NL-2426</t>
  </si>
  <si>
    <t xml:space="preserve">05/28/2026</t>
  </si>
  <si>
    <t xml:space="preserve">06/27/2026</t>
  </si>
  <si>
    <t xml:space="preserve">First late payment. Contact confirmed check in process.</t>
  </si>
  <si>
    <t xml:space="preserve">Ironwood Fabricators</t>
  </si>
  <si>
    <t xml:space="preserve">NL-2402</t>
  </si>
  <si>
    <t xml:space="preserve">04/02/2026</t>
  </si>
  <si>
    <t xml:space="preserve">05/02/2026</t>
  </si>
  <si>
    <t xml:space="preserve">No response to last 3 emails. Escalate to phone.</t>
  </si>
  <si>
    <t xml:space="preserve">Summit Equipment Co.</t>
  </si>
  <si>
    <t xml:space="preserve">NL-2371</t>
  </si>
  <si>
    <t xml:space="preserve">02/10/2026</t>
  </si>
  <si>
    <t xml:space="preserve">03/12/2026</t>
  </si>
  <si>
    <t xml:space="preserve">Payment plan proposed by customer, unsigned. Collections candidate.</t>
  </si>
  <si>
    <t xml:space="preserve">Delta Ridge Contractors</t>
  </si>
  <si>
    <t xml:space="preserve">NL-2444</t>
  </si>
  <si>
    <t xml:space="preserve">06/26/2026</t>
  </si>
  <si>
    <t xml:space="preserve">07/26/2026</t>
  </si>
  <si>
    <t xml:space="preserve">Current.</t>
  </si>
  <si>
    <t xml:space="preserve">NL-2447</t>
  </si>
  <si>
    <t xml:space="preserve">06/29/2026</t>
  </si>
  <si>
    <t xml:space="preserve">07/29/2026</t>
  </si>
  <si>
    <t xml:space="preserve">TOTALS</t>
  </si>
  <si>
    <t xml:space="preserve">% of total 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</si>
</sst>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10" min="6" style="0" width="12"/>
    <col collapsed="false" customWidth="true" hidden="false" outlineLevel="0" max="11" min="11" style="0" width="13"/>
    <col collapsed="false" customWidth="true" hidden="false" outlineLevel="0" max="12" min="12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6" t="n">
        <v>0</v>
      </c>
      <c r="G6" s="6" t="n">
        <v>0</v>
      </c>
      <c r="H6" s="6" t="n">
        <v>49000</v>
      </c>
      <c r="I6" s="6" t="n">
        <v>0</v>
      </c>
      <c r="J6" s="6" t="n">
        <v>0</v>
      </c>
      <c r="K6" s="6" t="n">
        <f aca="false">SUM(F6:J6)</f>
        <v>49000</v>
      </c>
      <c r="L6" s="5" t="s">
        <v>20</v>
      </c>
    </row>
    <row r="7" customFormat="false" ht="15" hidden="false" customHeight="false" outlineLevel="0" collapsed="false">
      <c r="A7" s="5" t="s">
        <v>15</v>
      </c>
      <c r="B7" s="5" t="s">
        <v>21</v>
      </c>
      <c r="C7" s="5" t="s">
        <v>22</v>
      </c>
      <c r="D7" s="5" t="s">
        <v>23</v>
      </c>
      <c r="E7" s="5" t="s">
        <v>19</v>
      </c>
      <c r="F7" s="6" t="n">
        <v>0</v>
      </c>
      <c r="G7" s="6" t="n">
        <v>0</v>
      </c>
      <c r="H7" s="6" t="n">
        <v>0</v>
      </c>
      <c r="I7" s="6" t="n">
        <v>12400</v>
      </c>
      <c r="J7" s="6" t="n">
        <v>0</v>
      </c>
      <c r="K7" s="6" t="n">
        <f aca="false">SUM(F7:J7)</f>
        <v>12400</v>
      </c>
      <c r="L7" s="5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19</v>
      </c>
      <c r="F8" s="6" t="n">
        <v>21600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f aca="false">SUM(F8:J8)</f>
        <v>21600</v>
      </c>
      <c r="L8" s="5" t="s">
        <v>29</v>
      </c>
    </row>
    <row r="9" customFormat="false" ht="15" hidden="false" customHeight="false" outlineLevel="0" collapsed="false">
      <c r="A9" s="5" t="s">
        <v>30</v>
      </c>
      <c r="B9" s="5" t="s">
        <v>31</v>
      </c>
      <c r="C9" s="5" t="s">
        <v>32</v>
      </c>
      <c r="D9" s="5" t="s">
        <v>33</v>
      </c>
      <c r="E9" s="5" t="s">
        <v>19</v>
      </c>
      <c r="F9" s="6" t="n">
        <v>0</v>
      </c>
      <c r="G9" s="6" t="n">
        <v>8925</v>
      </c>
      <c r="H9" s="6" t="n">
        <v>0</v>
      </c>
      <c r="I9" s="6" t="n">
        <v>0</v>
      </c>
      <c r="J9" s="6" t="n">
        <v>0</v>
      </c>
      <c r="K9" s="6" t="n">
        <f aca="false">SUM(F9:J9)</f>
        <v>8925</v>
      </c>
      <c r="L9" s="5" t="s">
        <v>34</v>
      </c>
    </row>
    <row r="10" customFormat="false" ht="15" hidden="false" customHeight="false" outlineLevel="0" collapsed="false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19</v>
      </c>
      <c r="F10" s="6" t="n">
        <v>0</v>
      </c>
      <c r="G10" s="6" t="n">
        <v>0</v>
      </c>
      <c r="H10" s="6" t="n">
        <v>17300</v>
      </c>
      <c r="I10" s="6" t="n">
        <v>0</v>
      </c>
      <c r="J10" s="6" t="n">
        <v>0</v>
      </c>
      <c r="K10" s="6" t="n">
        <f aca="false">SUM(F10:J10)</f>
        <v>17300</v>
      </c>
      <c r="L10" s="5" t="s">
        <v>39</v>
      </c>
    </row>
    <row r="11" customFormat="false" ht="15" hidden="false" customHeight="false" outlineLevel="0" collapsed="false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19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31150</v>
      </c>
      <c r="K11" s="6" t="n">
        <f aca="false">SUM(F11:J11)</f>
        <v>31150</v>
      </c>
      <c r="L11" s="5" t="s">
        <v>44</v>
      </c>
    </row>
    <row r="12" customFormat="false" ht="15" hidden="false" customHeight="false" outlineLevel="0" collapsed="false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19</v>
      </c>
      <c r="F12" s="6" t="n">
        <v>14780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f aca="false">SUM(F12:J12)</f>
        <v>14780</v>
      </c>
      <c r="L12" s="5" t="s">
        <v>49</v>
      </c>
    </row>
    <row r="13" customFormat="false" ht="15" hidden="false" customHeight="false" outlineLevel="0" collapsed="false">
      <c r="A13" s="5" t="s">
        <v>25</v>
      </c>
      <c r="B13" s="5" t="s">
        <v>50</v>
      </c>
      <c r="C13" s="5" t="s">
        <v>51</v>
      </c>
      <c r="D13" s="5" t="s">
        <v>52</v>
      </c>
      <c r="E13" s="5" t="s">
        <v>19</v>
      </c>
      <c r="F13" s="6" t="n">
        <v>9310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f aca="false">SUM(F13:J13)</f>
        <v>9310</v>
      </c>
      <c r="L13" s="5" t="s">
        <v>49</v>
      </c>
    </row>
    <row r="14" customFormat="false" ht="15" hidden="false" customHeight="false" outlineLevel="0" collapsed="false">
      <c r="E14" s="7" t="s">
        <v>53</v>
      </c>
      <c r="F14" s="8" t="n">
        <f aca="false">SUM(F6:F13)</f>
        <v>45690</v>
      </c>
      <c r="G14" s="8" t="n">
        <f aca="false">SUM(G6:G13)</f>
        <v>8925</v>
      </c>
      <c r="H14" s="8" t="n">
        <f aca="false">SUM(H6:H13)</f>
        <v>66300</v>
      </c>
      <c r="I14" s="8" t="n">
        <f aca="false">SUM(I6:I13)</f>
        <v>12400</v>
      </c>
      <c r="J14" s="8" t="n">
        <f aca="false">SUM(J6:J13)</f>
        <v>31150</v>
      </c>
      <c r="K14" s="8" t="n">
        <f aca="false">SUM(K6:K13)</f>
        <v>164465</v>
      </c>
    </row>
    <row r="16" customFormat="false" ht="15" hidden="false" customHeight="false" outlineLevel="0" collapsed="false">
      <c r="E16" s="9" t="s">
        <v>54</v>
      </c>
      <c r="F16" s="10" t="n">
        <f aca="false">IF($K$14=0,0,F14/$K$14)</f>
        <v>0.27780986836105</v>
      </c>
      <c r="G16" s="10" t="n">
        <f aca="false">IF($K$14=0,0,G14/$K$14)</f>
        <v>0.0542668652904873</v>
      </c>
      <c r="H16" s="10" t="n">
        <f aca="false">IF($K$14=0,0,H14/$K$14)</f>
        <v>0.403125285015049</v>
      </c>
      <c r="I16" s="10" t="n">
        <f aca="false">IF($K$14=0,0,I14/$K$14)</f>
        <v>0.0753959809077919</v>
      </c>
      <c r="J16" s="10" t="n">
        <f aca="false">IF($K$14=0,0,J14/$K$14)</f>
        <v>0.189402000425622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2026-07-07T09:44:44Z</dcterms:created>
  <dc:creator>openpyxl</dc:creator>
  <dc:description/>
  <dc:language>en-US</dc:language>
  <cp:lastModifiedBy/>
  <dcterms:modified xsi:type="dcterms:W3CDTF">2026-07-07T09:44:44Z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